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E389AF6-F91E-4106-B8D2-5275D8D68C9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<sst xmlns="http://schemas.openxmlformats.org/spreadsheetml/2006/main" count="21" uniqueCount="21">
  <si>
    <t>Student</t>
  </si>
  <si>
    <t>Score</t>
  </si>
  <si>
    <t>Attendance %</t>
  </si>
  <si>
    <t>Amira</t>
  </si>
  <si>
    <t>Ben</t>
  </si>
  <si>
    <t>Chloe</t>
  </si>
  <si>
    <t>David</t>
  </si>
  <si>
    <t>Elena</t>
  </si>
  <si>
    <t>Farid</t>
  </si>
  <si>
    <t>Grace</t>
  </si>
  <si>
    <t>Hugo</t>
  </si>
  <si>
    <t>Pass/Fail</t>
  </si>
  <si>
    <t>Grades</t>
  </si>
  <si>
    <t>Bonus_credit</t>
  </si>
  <si>
    <t>Needs_revivew</t>
  </si>
  <si>
    <t>Status</t>
  </si>
  <si>
    <t>Question_1</t>
  </si>
  <si>
    <t>Question_2</t>
  </si>
  <si>
    <t>Question_3</t>
  </si>
  <si>
    <t>Question_4</t>
  </si>
  <si>
    <t>Question_5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</si>
</sst>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0" fillId="2" borderId="1" xfId="0" applyFill="1" applyBorder="1"/>
    <xf numFmtId="10" fontId="0" fillId="2" borderId="1" xfId="0" applyNumberFormat="1" applyFill="1" applyBorder="1"/>
    <xf numFmtId="0" fontId="0" fillId="0" borderId="1" xfId="0" applyBorder="1"/>
    <xf numFmtId="10" fontId="0" fillId="0" borderId="1" xfId="0" applyNumberFormat="1" applyBorder="1"/>
    <xf numFmtId="0" fontId="0" fillId="3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14" sqref="J14"/>
    </sheetView>
  </sheetViews>
  <sheetFormatPr defaultColWidth="11.6640625" defaultRowHeight="14.4" x14ac:dyDescent="0.3"/>
  <cols>
    <col min="3" max="3" width="11.6640625" style="1"/>
    <col min="7" max="7" width="14.109375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</row>
    <row r="2" spans="1:8" x14ac:dyDescent="0.3">
      <c r="A2" s="2" t="s">
        <v>3</v>
      </c>
      <c r="B2" s="4">
        <v>92</v>
      </c>
      <c r="C2" s="5">
        <v>0.96</v>
      </c>
      <c r="D2" s="7" t="str">
        <f>IF(B2&gt;60, "Pass", "Fail")</f>
        <v>Pass</v>
      </c>
      <c r="E2" s="7" t="str">
        <f xml:space="preserve"> _xlfn.IFS(B2&gt; 90, "A", B2&gt; 80, "B", B2&gt;70, "C", B2&gt;60, "D", TRUE, "F" )</f>
        <v>A</v>
      </c>
      <c r="F2" s="7" t="str">
        <f>IF(AND(B2&gt;=80,C2&gt;=90%),"Eligible","Not Eligible")</f>
        <v>Eligible</v>
      </c>
      <c r="G2" s="7" t="str">
        <f>IF(OR(B2&lt;60, C2&lt;80%), "Needs review", "OK")</f>
        <v>OK</v>
      </c>
      <c r="H2" s="7" t="str">
        <f>IF(AND(B2&gt;90, B2 &gt;95%), "excelent", "Standard")</f>
        <v>excelent</v>
      </c>
    </row>
    <row r="3" spans="1:8" x14ac:dyDescent="0.3">
      <c r="A3" s="2" t="s">
        <v>4</v>
      </c>
      <c r="B3" s="4">
        <v>77</v>
      </c>
      <c r="C3" s="5">
        <v>0.88</v>
      </c>
      <c r="D3" s="7" t="str">
        <f t="shared" ref="D3:D9" si="0">IF(B3&gt;60, "Pass", "Fail")</f>
        <v>Pass</v>
      </c>
      <c r="E3" s="7" t="str">
        <f t="shared" ref="E3:E9" si="1" xml:space="preserve"> _xlfn.IFS(B3&gt; 90, "A", B3&gt; 80, "B", B3&gt;70, "C", B3&gt;60, "D", TRUE, "F" )</f>
        <v>C</v>
      </c>
      <c r="F3" s="7" t="str">
        <f t="shared" ref="F3:F9" si="2">IF(AND(B3&gt;=80,C3&gt;=90%),"Eligible","Not Eligible")</f>
        <v>Not Eligible</v>
      </c>
      <c r="G3" s="7" t="str">
        <f t="shared" ref="G3:G9" si="3">IF(OR(B3&lt;60, C3&lt;80%), "Needs review", "OK")</f>
        <v>OK</v>
      </c>
      <c r="H3" s="7" t="str">
        <f t="shared" ref="H3:H9" si="4">IF(AND(B3&gt;90, B3 &gt;95%), "excelent", "Standard")</f>
        <v>Standard</v>
      </c>
    </row>
    <row r="4" spans="1:8" x14ac:dyDescent="0.3">
      <c r="A4" s="2" t="s">
        <v>5</v>
      </c>
      <c r="B4" s="4">
        <v>64</v>
      </c>
      <c r="C4" s="5">
        <v>0.91</v>
      </c>
      <c r="D4" s="7" t="str">
        <f t="shared" si="0"/>
        <v>Pass</v>
      </c>
      <c r="E4" s="7" t="str">
        <f t="shared" si="1"/>
        <v>D</v>
      </c>
      <c r="F4" s="7" t="str">
        <f t="shared" si="2"/>
        <v>Not Eligible</v>
      </c>
      <c r="G4" s="7" t="str">
        <f t="shared" si="3"/>
        <v>OK</v>
      </c>
      <c r="H4" s="7" t="str">
        <f t="shared" si="4"/>
        <v>Standard</v>
      </c>
    </row>
    <row r="5" spans="1:8" x14ac:dyDescent="0.3">
      <c r="A5" s="2" t="s">
        <v>6</v>
      </c>
      <c r="B5" s="4">
        <v>58</v>
      </c>
      <c r="C5" s="5">
        <v>0.84</v>
      </c>
      <c r="D5" s="7" t="str">
        <f t="shared" si="0"/>
        <v>Fail</v>
      </c>
      <c r="E5" s="7" t="str">
        <f t="shared" si="1"/>
        <v>F</v>
      </c>
      <c r="F5" s="7" t="str">
        <f t="shared" si="2"/>
        <v>Not Eligible</v>
      </c>
      <c r="G5" s="7" t="str">
        <f t="shared" si="3"/>
        <v>Needs review</v>
      </c>
      <c r="H5" s="7" t="str">
        <f t="shared" si="4"/>
        <v>Standard</v>
      </c>
    </row>
    <row r="6" spans="1:8" x14ac:dyDescent="0.3">
      <c r="A6" s="2" t="s">
        <v>7</v>
      </c>
      <c r="B6" s="4">
        <v>85</v>
      </c>
      <c r="C6" s="5">
        <v>0.98</v>
      </c>
      <c r="D6" s="7" t="str">
        <f t="shared" si="0"/>
        <v>Pass</v>
      </c>
      <c r="E6" s="7" t="str">
        <f t="shared" si="1"/>
        <v>B</v>
      </c>
      <c r="F6" s="7" t="str">
        <f t="shared" si="2"/>
        <v>Eligible</v>
      </c>
      <c r="G6" s="7" t="str">
        <f t="shared" si="3"/>
        <v>OK</v>
      </c>
      <c r="H6" s="7" t="str">
        <f t="shared" si="4"/>
        <v>Standard</v>
      </c>
    </row>
    <row r="7" spans="1:8" x14ac:dyDescent="0.3">
      <c r="A7" s="2" t="s">
        <v>8</v>
      </c>
      <c r="B7" s="4">
        <v>73</v>
      </c>
      <c r="C7" s="5">
        <v>0.79</v>
      </c>
      <c r="D7" s="7" t="str">
        <f t="shared" si="0"/>
        <v>Pass</v>
      </c>
      <c r="E7" s="7" t="str">
        <f t="shared" si="1"/>
        <v>C</v>
      </c>
      <c r="F7" s="7" t="str">
        <f t="shared" si="2"/>
        <v>Not Eligible</v>
      </c>
      <c r="G7" s="7" t="str">
        <f t="shared" si="3"/>
        <v>Needs review</v>
      </c>
      <c r="H7" s="7" t="str">
        <f t="shared" si="4"/>
        <v>Standard</v>
      </c>
    </row>
    <row r="8" spans="1:8" x14ac:dyDescent="0.3">
      <c r="A8" s="2" t="s">
        <v>9</v>
      </c>
      <c r="B8" s="4">
        <v>49</v>
      </c>
      <c r="C8" s="5">
        <v>0.93</v>
      </c>
      <c r="D8" s="7" t="str">
        <f t="shared" si="0"/>
        <v>Fail</v>
      </c>
      <c r="E8" s="7" t="str">
        <f t="shared" si="1"/>
        <v>F</v>
      </c>
      <c r="F8" s="7" t="str">
        <f t="shared" si="2"/>
        <v>Not Eligible</v>
      </c>
      <c r="G8" s="7" t="str">
        <f t="shared" si="3"/>
        <v>Needs review</v>
      </c>
      <c r="H8" s="7" t="str">
        <f t="shared" si="4"/>
        <v>Standard</v>
      </c>
    </row>
    <row r="9" spans="1:8" x14ac:dyDescent="0.3">
      <c r="A9" s="2" t="s">
        <v>10</v>
      </c>
      <c r="B9" s="4">
        <v>68</v>
      </c>
      <c r="C9" s="5">
        <v>0.87</v>
      </c>
      <c r="D9" s="7" t="str">
        <f t="shared" si="0"/>
        <v>Pass</v>
      </c>
      <c r="E9" s="7" t="str">
        <f t="shared" si="1"/>
        <v>D</v>
      </c>
      <c r="F9" s="7" t="str">
        <f t="shared" si="2"/>
        <v>Not Eligible</v>
      </c>
      <c r="G9" s="7" t="str">
        <f t="shared" si="3"/>
        <v>OK</v>
      </c>
      <c r="H9" s="7" t="str">
        <f t="shared" si="4"/>
        <v>Standard</v>
      </c>
    </row>
    <row r="10" spans="1:8" x14ac:dyDescent="0.3">
      <c r="D10" t="s">
        <v>16</v>
      </c>
      <c r="E10" t="s">
        <v>17</v>
      </c>
      <c r="F10" t="s">
        <v>18</v>
      </c>
      <c r="G10" t="s">
        <v>19</v>
      </c>
      <c r="H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2026-07-26T11:02:35Z</dcterms:modified>
</cp:coreProperties>
</file>