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B02D3F25-E05E-4BE7-A11C-122D45D41511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</calcChain>
</file>

<file path=xl/sharedStrings.xml><?xml version="1.0" encoding="utf-8"?>
<sst xmlns="http://schemas.openxmlformats.org/spreadsheetml/2006/main" count="39" uniqueCount="33">
  <si>
    <t>Employee ID</t>
  </si>
  <si>
    <t>Name</t>
  </si>
  <si>
    <t>Dept Code</t>
  </si>
  <si>
    <t>Salary</t>
  </si>
  <si>
    <t>E101</t>
  </si>
  <si>
    <t>Isla</t>
  </si>
  <si>
    <t>HR</t>
  </si>
  <si>
    <t>E102</t>
  </si>
  <si>
    <t>Jon</t>
  </si>
  <si>
    <t>FN</t>
  </si>
  <si>
    <t>E103</t>
  </si>
  <si>
    <t>Karen</t>
  </si>
  <si>
    <t>IT</t>
  </si>
  <si>
    <t>E104</t>
  </si>
  <si>
    <t>Liam</t>
  </si>
  <si>
    <t>MK</t>
  </si>
  <si>
    <t>E105</t>
  </si>
  <si>
    <t>Mina</t>
  </si>
  <si>
    <t>SL</t>
  </si>
  <si>
    <t>Dept Name</t>
  </si>
  <si>
    <t>Finance</t>
  </si>
  <si>
    <t>Human Resources</t>
  </si>
  <si>
    <t>Information Technology</t>
  </si>
  <si>
    <t>Marketing</t>
  </si>
  <si>
    <t>Sales</t>
  </si>
  <si>
    <t>Salary Threshold</t>
  </si>
  <si>
    <t>Band</t>
  </si>
  <si>
    <t>Band 1</t>
  </si>
  <si>
    <t>Band 2</t>
  </si>
  <si>
    <t>Band 3</t>
  </si>
  <si>
    <t>Band 4</t>
  </si>
  <si>
    <t>#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</si>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</sst>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2" borderId="1" xfId="0" applyFill="1" applyBorder="1"/>
    <xf numFmtId="3" fontId="0" fillId="2" borderId="1" xfId="0" applyNumberFormat="1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3" borderId="2" xfId="0" applyFill="1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F14" sqref="F14"/>
    </sheetView>
  </sheetViews>
  <sheetFormatPr defaultColWidth="9.5546875" defaultRowHeight="14.4" x14ac:dyDescent="0.3"/>
  <cols>
    <col min="1" max="1" width="11.77734375" customWidth="1"/>
    <col min="7" max="7" width="20.44140625" customWidth="1"/>
    <col min="8" max="8" width="10.33203125" customWidth="1"/>
    <col min="9" max="9" width="15.109375" customWidth="1"/>
    <col min="10" max="10" width="9.8867187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F1" s="3" t="s">
        <v>2</v>
      </c>
      <c r="G1" s="3" t="s">
        <v>19</v>
      </c>
      <c r="I1" s="3" t="s">
        <v>25</v>
      </c>
      <c r="J1" s="3" t="s">
        <v>26</v>
      </c>
    </row>
    <row r="2" spans="1:10" x14ac:dyDescent="0.3">
      <c r="A2" s="3" t="s">
        <v>4</v>
      </c>
      <c r="B2" s="1" t="s">
        <v>5</v>
      </c>
      <c r="C2" s="1" t="s">
        <v>6</v>
      </c>
      <c r="D2" s="2">
        <v>52000</v>
      </c>
      <c r="F2" s="3" t="s">
        <v>9</v>
      </c>
      <c r="G2" s="1" t="s">
        <v>20</v>
      </c>
      <c r="I2" s="3">
        <v>0</v>
      </c>
      <c r="J2" s="1" t="s">
        <v>27</v>
      </c>
    </row>
    <row r="3" spans="1:10" x14ac:dyDescent="0.3">
      <c r="A3" s="3" t="s">
        <v>7</v>
      </c>
      <c r="B3" s="1" t="s">
        <v>8</v>
      </c>
      <c r="C3" s="1" t="s">
        <v>9</v>
      </c>
      <c r="D3" s="2">
        <v>61000</v>
      </c>
      <c r="F3" s="3" t="s">
        <v>6</v>
      </c>
      <c r="G3" s="1" t="s">
        <v>21</v>
      </c>
      <c r="I3" s="4">
        <v>55000</v>
      </c>
      <c r="J3" s="1" t="s">
        <v>28</v>
      </c>
    </row>
    <row r="4" spans="1:10" x14ac:dyDescent="0.3">
      <c r="A4" s="3" t="s">
        <v>10</v>
      </c>
      <c r="B4" s="1" t="s">
        <v>11</v>
      </c>
      <c r="C4" s="1" t="s">
        <v>12</v>
      </c>
      <c r="D4" s="2">
        <v>72000</v>
      </c>
      <c r="F4" s="3" t="s">
        <v>12</v>
      </c>
      <c r="G4" s="1" t="s">
        <v>22</v>
      </c>
      <c r="I4" s="4">
        <v>65000</v>
      </c>
      <c r="J4" s="1" t="s">
        <v>29</v>
      </c>
    </row>
    <row r="5" spans="1:10" x14ac:dyDescent="0.3">
      <c r="A5" s="3" t="s">
        <v>13</v>
      </c>
      <c r="B5" s="1" t="s">
        <v>14</v>
      </c>
      <c r="C5" s="1" t="s">
        <v>15</v>
      </c>
      <c r="D5" s="2">
        <v>56000</v>
      </c>
      <c r="F5" s="3" t="s">
        <v>15</v>
      </c>
      <c r="G5" s="1" t="s">
        <v>23</v>
      </c>
      <c r="I5" s="4">
        <v>70000</v>
      </c>
      <c r="J5" s="1" t="s">
        <v>30</v>
      </c>
    </row>
    <row r="6" spans="1:10" x14ac:dyDescent="0.3">
      <c r="A6" s="3" t="s">
        <v>16</v>
      </c>
      <c r="B6" s="1" t="s">
        <v>17</v>
      </c>
      <c r="C6" s="1" t="s">
        <v>18</v>
      </c>
      <c r="D6" s="2">
        <v>65000</v>
      </c>
      <c r="F6" s="3" t="s">
        <v>18</v>
      </c>
      <c r="G6" s="1" t="s">
        <v>24</v>
      </c>
    </row>
    <row r="9" spans="1:10" x14ac:dyDescent="0.3">
      <c r="A9" s="5" t="s">
        <v>31</v>
      </c>
      <c r="B9" s="5" t="s">
        <v>32</v>
      </c>
    </row>
    <row r="10" spans="1:10" x14ac:dyDescent="0.3">
      <c r="A10" s="5">
        <v>1</v>
      </c>
      <c r="B10" s="8">
        <f>VLOOKUP(A5, A2:D6, 4, )</f>
        <v>56000</v>
      </c>
    </row>
    <row r="11" spans="1:10" x14ac:dyDescent="0.3">
      <c r="A11" s="7">
        <v>2</v>
      </c>
      <c r="B11" s="6" t="str">
        <f>VLOOKUP(C4, F2:G6, 2, )</f>
        <v>Information Technology</v>
      </c>
      <c r="C11" s="6"/>
      <c r="D11" s="6"/>
    </row>
    <row r="12" spans="1:10" x14ac:dyDescent="0.3">
      <c r="A12" s="5">
        <v>3</v>
      </c>
      <c r="B12" s="9" t="str">
        <f>VLOOKUP(D5, I2:J5, 2, TRUE)</f>
        <v>Band 2</v>
      </c>
    </row>
    <row r="13" spans="1:10" x14ac:dyDescent="0.3">
      <c r="A13" s="5">
        <v>4</v>
      </c>
      <c r="B13" s="1" t="str">
        <f>VLOOKUP(VLOOKUP("Mina",B2:C6,2,FALSE),F2:G6,2,FALSE)</f>
        <v>Sales</v>
      </c>
    </row>
    <row r="14" spans="1:10" x14ac:dyDescent="0.3">
      <c r="A14" s="5">
        <v>5</v>
      </c>
      <c r="B14" s="1" t="str">
        <f>IFERROR(VLOOKUP(G11,B2:D6,2,FALSE),"Not Found")</f>
        <v>Not Found</v>
      </c>
    </row>
  </sheetData>
  <mergeCells count="1">
    <mergeCell ref="B11:D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2026-07-27T07:59:07Z</dcterms:modified>
</cp:coreProperties>
</file>