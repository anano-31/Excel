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2996A94-A175-4D0D-8A2E-4A5E36942BED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Data" sheetId="1" r:id="rId1"/>
    <sheet name="summary_table" sheetId="2" r:id="rId2"/>
    <sheet name="Region_ranking" sheetId="4" r:id="rId3"/>
  </sheets>
  <externalReferences>
    <externalReference r:id="rId4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6" i="4"/>
  <c r="C4" i="4"/>
  <c r="C5" i="4"/>
  <c r="C2" i="4"/>
  <c r="E3" i="2"/>
  <c r="E4" i="2"/>
  <c r="E5" i="2"/>
  <c r="E6" i="2"/>
  <c r="E2" i="2"/>
  <c r="D3" i="2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</calcChain>
</file>

<file path=xl/sharedStrings.xml><?xml version="1.0" encoding="utf-8"?>
<sst xmlns="http://schemas.openxmlformats.org/spreadsheetml/2006/main" count="36" uniqueCount="24">
  <si>
    <t>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</si>
  <si>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</si>
  <si>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</si>
  <si>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</si>
  <si>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</si>
  <si>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</si>
  <si>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</si>
  <si>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</si>
  <si>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</si>
  <si>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</si>
  <si>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</si>
  <si>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</si>
  <si>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</si>
  <si>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North</t>
  </si>
  <si>
    <t>South</t>
  </si>
  <si>
    <t>East</t>
  </si>
  <si>
    <t>West</t>
  </si>
  <si>
    <t>Central</t>
  </si>
  <si>
    <t>SUM</t>
  </si>
  <si>
    <t>AVERAGE</t>
  </si>
  <si>
    <t>MAX</t>
  </si>
  <si>
    <t>MIN</t>
  </si>
  <si>
    <t>Total_revenue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</si>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</sst>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50000"/>
                  </a:schemeClr>
                </a:solidFill>
              </a:rPr>
              <a:t>Annual</a:t>
            </a:r>
            <a:r>
              <a:rPr lang="en-US" baseline="0">
                <a:solidFill>
                  <a:schemeClr val="tx2">
                    <a:lumMod val="50000"/>
                  </a:schemeClr>
                </a:solidFill>
              </a:rPr>
              <a:t>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Region_ranking!$B$2:$B$6</c:f>
              <c:strCache>
                <c:ptCount val="5"/>
                <c:pt idx="0">
                  <c:v>North</c:v>
                </c:pt>
                <c:pt idx="1">
                  <c:v>Central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Region_ranking!$C$2:$C$6</c:f>
              <c:numCache>
                <c:formatCode>General</c:formatCode>
                <c:ptCount val="5"/>
                <c:pt idx="0">
                  <c:v>581500</c:v>
                </c:pt>
                <c:pt idx="1">
                  <c:v>556400</c:v>
                </c:pt>
                <c:pt idx="2">
                  <c:v>539900</c:v>
                </c:pt>
                <c:pt idx="3">
                  <c:v>510850</c:v>
                </c:pt>
                <c:pt idx="4">
                  <c:v>497550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7-4031-9939-FFFF2309C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682272"/>
        <c:axId val="460686208"/>
      </c:barChart>
      <c:catAx>
        <c:axId val="46068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686208"/>
        <c:crosses val="autoZero"/>
        <c:auto val="1"/>
        <c:lblAlgn val="ctr"/>
        <c:lblOffset val="100"/>
        <c:noMultiLvlLbl val="0"/>
      </c:catAx>
      <c:valAx>
        <c:axId val="46068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68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6</xdr:row>
      <xdr:rowOff>144780</xdr:rowOff>
    </xdr:from>
    <xdr:to>
      <xdr:col>5</xdr:col>
      <xdr:colOff>358140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4505B-E7A8-4DC4-B3DE-28D209923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Jan</v>
          </cell>
          <cell r="B2">
            <v>12000</v>
          </cell>
          <cell r="C2">
            <v>9800</v>
          </cell>
          <cell r="D2">
            <v>11050</v>
          </cell>
          <cell r="E2">
            <v>10100</v>
          </cell>
        </row>
        <row r="3">
          <cell r="A3" t="str">
            <v>Feb</v>
          </cell>
          <cell r="B3">
            <v>12800</v>
          </cell>
          <cell r="C3">
            <v>10050</v>
          </cell>
          <cell r="D3">
            <v>11220</v>
          </cell>
          <cell r="E3">
            <v>10580</v>
          </cell>
        </row>
        <row r="4">
          <cell r="A4" t="str">
            <v>Mar</v>
          </cell>
          <cell r="B4">
            <v>13500</v>
          </cell>
          <cell r="C4">
            <v>10800</v>
          </cell>
          <cell r="D4">
            <v>11980</v>
          </cell>
          <cell r="E4">
            <v>10950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T9" sqref="T9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42000</v>
      </c>
      <c r="C2">
        <v>43800</v>
      </c>
      <c r="D2">
        <v>45100</v>
      </c>
      <c r="E2">
        <v>46800</v>
      </c>
      <c r="F2">
        <v>47900</v>
      </c>
      <c r="G2">
        <v>49100</v>
      </c>
      <c r="H2">
        <v>50500</v>
      </c>
      <c r="I2">
        <v>49800</v>
      </c>
      <c r="J2">
        <v>48700</v>
      </c>
      <c r="K2">
        <v>51200</v>
      </c>
      <c r="L2">
        <v>52600</v>
      </c>
      <c r="M2">
        <v>54000</v>
      </c>
    </row>
    <row r="3" spans="1:13" x14ac:dyDescent="0.3">
      <c r="A3" t="s">
        <v>14</v>
      </c>
      <c r="B3">
        <v>37800</v>
      </c>
      <c r="C3">
        <v>38950</v>
      </c>
      <c r="D3">
        <v>40100</v>
      </c>
      <c r="E3">
        <v>41500</v>
      </c>
      <c r="F3">
        <v>42200</v>
      </c>
      <c r="G3">
        <v>43050</v>
      </c>
      <c r="H3">
        <v>43900</v>
      </c>
      <c r="I3">
        <v>43300</v>
      </c>
      <c r="J3">
        <v>42800</v>
      </c>
      <c r="K3">
        <v>44550</v>
      </c>
      <c r="L3">
        <v>45700</v>
      </c>
      <c r="M3">
        <v>47000</v>
      </c>
    </row>
    <row r="4" spans="1:13" x14ac:dyDescent="0.3">
      <c r="A4" t="s">
        <v>15</v>
      </c>
      <c r="B4">
        <v>39500</v>
      </c>
      <c r="C4">
        <v>40700</v>
      </c>
      <c r="D4">
        <v>42050</v>
      </c>
      <c r="E4">
        <v>43200</v>
      </c>
      <c r="F4">
        <v>44100</v>
      </c>
      <c r="G4">
        <v>45250</v>
      </c>
      <c r="H4">
        <v>46800</v>
      </c>
      <c r="I4">
        <v>46250</v>
      </c>
      <c r="J4">
        <v>45100</v>
      </c>
      <c r="K4">
        <v>47750</v>
      </c>
      <c r="L4">
        <v>48900</v>
      </c>
      <c r="M4">
        <v>50300</v>
      </c>
    </row>
    <row r="5" spans="1:13" x14ac:dyDescent="0.3">
      <c r="A5" t="s">
        <v>16</v>
      </c>
      <c r="B5">
        <v>36000</v>
      </c>
      <c r="C5">
        <v>37200</v>
      </c>
      <c r="D5">
        <v>38650</v>
      </c>
      <c r="E5">
        <v>39900</v>
      </c>
      <c r="F5">
        <v>41050</v>
      </c>
      <c r="G5">
        <v>42300</v>
      </c>
      <c r="H5">
        <v>43150</v>
      </c>
      <c r="I5">
        <v>42700</v>
      </c>
      <c r="J5">
        <v>41850</v>
      </c>
      <c r="K5">
        <v>43950</v>
      </c>
      <c r="L5">
        <v>44800</v>
      </c>
      <c r="M5">
        <v>46000</v>
      </c>
    </row>
    <row r="6" spans="1:13" x14ac:dyDescent="0.3">
      <c r="A6" t="s">
        <v>17</v>
      </c>
      <c r="B6">
        <v>41000</v>
      </c>
      <c r="C6">
        <v>42150</v>
      </c>
      <c r="D6">
        <v>43400</v>
      </c>
      <c r="E6">
        <v>44750</v>
      </c>
      <c r="F6">
        <v>45600</v>
      </c>
      <c r="G6">
        <v>46850</v>
      </c>
      <c r="H6">
        <v>48100</v>
      </c>
      <c r="I6">
        <v>47500</v>
      </c>
      <c r="J6">
        <v>46600</v>
      </c>
      <c r="K6">
        <v>48900</v>
      </c>
      <c r="L6">
        <v>50050</v>
      </c>
      <c r="M6">
        <v>51500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65C1-4313-46CD-B92F-5E557DE31489}">
  <dimension ref="A1:E6"/>
  <sheetViews>
    <sheetView workbookViewId="0">
      <selection activeCell="E11" sqref="E11"/>
    </sheetView>
  </sheetViews>
  <sheetFormatPr defaultRowHeight="14.4" x14ac:dyDescent="0.3"/>
  <sheetData>
    <row r="1" spans="1:5" x14ac:dyDescent="0.3">
      <c r="A1" t="s">
        <v>0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">
      <c r="A2" t="s">
        <v>13</v>
      </c>
      <c r="B2">
        <f>(SUM(Data!B2:M2))</f>
        <v>581500</v>
      </c>
      <c r="C2">
        <f>AVERAGE(Data!B2:M2)</f>
        <v>48458.333333333336</v>
      </c>
      <c r="D2">
        <f>MAX(Data!B2:M2)</f>
        <v>54000</v>
      </c>
      <c r="E2">
        <f>MIN(Data!B2:M2)</f>
        <v>42000</v>
      </c>
    </row>
    <row r="3" spans="1:5" x14ac:dyDescent="0.3">
      <c r="A3" t="s">
        <v>14</v>
      </c>
      <c r="B3">
        <f>(SUM(Data!B3:M3))</f>
        <v>510850</v>
      </c>
      <c r="C3">
        <f>AVERAGE(Data!B3:M3)</f>
        <v>42570.833333333336</v>
      </c>
      <c r="D3">
        <f>MAX(Data!B3:M3)</f>
        <v>47000</v>
      </c>
      <c r="E3">
        <f>MIN(Data!B3:M3)</f>
        <v>37800</v>
      </c>
    </row>
    <row r="4" spans="1:5" x14ac:dyDescent="0.3">
      <c r="A4" t="s">
        <v>15</v>
      </c>
      <c r="B4">
        <f>(SUM(Data!B4:M4))</f>
        <v>539900</v>
      </c>
      <c r="C4">
        <f>AVERAGE(Data!B4:M4)</f>
        <v>44991.666666666664</v>
      </c>
      <c r="D4">
        <f>MAX(Data!B4:M4)</f>
        <v>50300</v>
      </c>
      <c r="E4">
        <f>MIN(Data!B4:M4)</f>
        <v>39500</v>
      </c>
    </row>
    <row r="5" spans="1:5" x14ac:dyDescent="0.3">
      <c r="A5" t="s">
        <v>16</v>
      </c>
      <c r="B5">
        <f>(SUM(Data!B5:M5))</f>
        <v>497550</v>
      </c>
      <c r="C5">
        <f>AVERAGE(Data!B5:M5)</f>
        <v>41462.5</v>
      </c>
      <c r="D5">
        <f>MAX(Data!B5:M5)</f>
        <v>46000</v>
      </c>
      <c r="E5">
        <f>MIN(Data!B5:M5)</f>
        <v>36000</v>
      </c>
    </row>
    <row r="6" spans="1:5" x14ac:dyDescent="0.3">
      <c r="A6" t="s">
        <v>17</v>
      </c>
      <c r="B6">
        <f>(SUM(Data!B6:M6))</f>
        <v>556400</v>
      </c>
      <c r="C6">
        <f>AVERAGE(Data!B6:M6)</f>
        <v>46366.666666666664</v>
      </c>
      <c r="D6">
        <f>MAX(Data!B6:M6)</f>
        <v>51500</v>
      </c>
      <c r="E6">
        <f>MIN(Data!B6:M6)</f>
        <v>41000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3AA0-D2B5-4D0D-9C3E-E287605EC6CB}">
  <dimension ref="A1:C6"/>
  <sheetViews>
    <sheetView workbookViewId="0">
      <selection activeCell="I10" sqref="I10"/>
    </sheetView>
  </sheetViews>
  <sheetFormatPr defaultColWidth="12.88671875" defaultRowHeight="14.4" x14ac:dyDescent="0.3"/>
  <sheetData>
    <row r="1" spans="1:3" x14ac:dyDescent="0.3">
      <c r="A1" t="s">
        <v>23</v>
      </c>
      <c r="B1" t="s">
        <v>0</v>
      </c>
      <c r="C1" t="s">
        <v>22</v>
      </c>
    </row>
    <row r="2" spans="1:3" x14ac:dyDescent="0.3">
      <c r="A2">
        <v>1</v>
      </c>
      <c r="B2" t="s">
        <v>13</v>
      </c>
      <c r="C2">
        <f>(SUM(Data!B2:M2))</f>
        <v>581500</v>
      </c>
    </row>
    <row r="3" spans="1:3" x14ac:dyDescent="0.3">
      <c r="A3">
        <v>2</v>
      </c>
      <c r="B3" t="s">
        <v>17</v>
      </c>
      <c r="C3">
        <f>(SUM(Data!B6:M6))</f>
        <v>556400</v>
      </c>
    </row>
    <row r="4" spans="1:3" x14ac:dyDescent="0.3">
      <c r="A4">
        <v>3</v>
      </c>
      <c r="B4" t="s">
        <v>15</v>
      </c>
      <c r="C4">
        <f>(SUM(Data!B4:M4))</f>
        <v>539900</v>
      </c>
    </row>
    <row r="5" spans="1:3" x14ac:dyDescent="0.3">
      <c r="A5">
        <v>4</v>
      </c>
      <c r="B5" t="s">
        <v>14</v>
      </c>
      <c r="C5">
        <f>(SUM(Data!B3:M3))</f>
        <v>510850</v>
      </c>
    </row>
    <row r="6" spans="1:3" x14ac:dyDescent="0.3">
      <c r="A6">
        <v>5</v>
      </c>
      <c r="B6" t="s">
        <v>16</v>
      </c>
      <c r="C6">
        <f>(SUM(Data!B5:M5))</f>
        <v>497550</v>
      </c>
    </row>
  </sheetData>
  <sortState ref="B2:C6">
    <sortCondition descending="1" ref="C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summary_table</vt:lpstr>
      <vt:lpstr>Region_ranking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2026-07-28T10:17:31Z</dcterms:modified>
</cp:coreProperties>
</file>